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996" tabRatio="600" firstSheet="5" activeTab="11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Юнит-экономика" sheetId="2" state="visible" r:id="rId2"/>
    <sheet xmlns:r="http://schemas.openxmlformats.org/officeDocument/2006/relationships" name="Продажи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Безубыточность" sheetId="5" state="visible" r:id="rId5"/>
    <sheet xmlns:r="http://schemas.openxmlformats.org/officeDocument/2006/relationships" name="Окупаемость" sheetId="6" state="visible" r:id="rId6"/>
    <sheet xmlns:r="http://schemas.openxmlformats.org/officeDocument/2006/relationships" name="Пакеты" sheetId="7" state="visible" r:id="rId7"/>
    <sheet xmlns:r="http://schemas.openxmlformats.org/officeDocument/2006/relationships" name="KPI_Менеджеры" sheetId="8" state="visible" r:id="rId8"/>
    <sheet xmlns:r="http://schemas.openxmlformats.org/officeDocument/2006/relationships" name="Сезонность" sheetId="9" state="visible" r:id="rId9"/>
    <sheet xmlns:r="http://schemas.openxmlformats.org/officeDocument/2006/relationships" name="CashFlow_12м" sheetId="10" state="visible" r:id="rId10"/>
    <sheet xmlns:r="http://schemas.openxmlformats.org/officeDocument/2006/relationships" name="Масштабирование" sheetId="11" state="visible" r:id="rId11"/>
    <sheet xmlns:r="http://schemas.openxmlformats.org/officeDocument/2006/relationships" name="Стресс_тест" sheetId="12" state="visible" r:id="rId12"/>
  </sheets>
  <externalReferences>
    <externalReference xmlns:r="http://schemas.openxmlformats.org/officeDocument/2006/relationships" r:id="rId13"/>
  </externalReference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4"/>
    </font>
    <font>
      <name val="Calibri"/>
      <b val="1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2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164" fontId="5" fillId="4" borderId="2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L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E12" sqref="E12"/>
    </sheetView>
  </sheetViews>
  <sheetFormatPr baseColWidth="8" defaultRowHeight="14.25"/>
  <cols>
    <col width="40" customWidth="1" style="12" min="1" max="1"/>
    <col width="18" customWidth="1" style="12" min="2" max="2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Заказов в месяц</t>
        </is>
      </c>
      <c r="B2" t="n">
        <v>20</v>
      </c>
    </row>
    <row r="3">
      <c r="A3" t="inlineStr">
        <is>
          <t>Средний чек</t>
        </is>
      </c>
      <c r="B3" t="n">
        <v>94000</v>
      </c>
    </row>
    <row r="4">
      <c r="A4" t="inlineStr">
        <is>
          <t>Средняя себестоимость</t>
        </is>
      </c>
      <c r="B4" t="n">
        <v>58000</v>
      </c>
    </row>
    <row r="5">
      <c r="A5" t="inlineStr">
        <is>
          <t>CAC (привлечение)</t>
        </is>
      </c>
      <c r="B5" t="n">
        <v>6500</v>
      </c>
    </row>
    <row r="6">
      <c r="A6" t="inlineStr">
        <is>
          <t>Фиксированные расходы (итого)</t>
        </is>
      </c>
      <c r="B6" s="4">
        <f>B27</f>
        <v/>
      </c>
    </row>
    <row r="7">
      <c r="A7" t="inlineStr">
        <is>
          <t>Инвестиции на старт</t>
        </is>
      </c>
      <c r="B7" t="n">
        <v>1200000</v>
      </c>
    </row>
    <row r="9">
      <c r="A9" t="inlineStr">
        <is>
          <t>Средний чек (из пакетов)</t>
        </is>
      </c>
      <c r="B9">
        <f>IF(Пакеты!B10=0,B3,Пакеты!B10)</f>
        <v/>
      </c>
    </row>
    <row r="10">
      <c r="A10" t="inlineStr">
        <is>
          <t>Себестоимость (из пакетов)</t>
        </is>
      </c>
      <c r="B10">
        <f>IF(Пакеты!B11=0,B4,Пакеты!B11)</f>
        <v/>
      </c>
    </row>
    <row r="12">
      <c r="A12" t="inlineStr">
        <is>
          <t>Доп. FIX на город (2-й/3-й)</t>
        </is>
      </c>
      <c r="B12" t="n">
        <v>250000</v>
      </c>
    </row>
    <row r="13">
      <c r="A13" t="inlineStr">
        <is>
          <t>Месяц запуска 2-го города (1-12)</t>
        </is>
      </c>
      <c r="B13" t="n">
        <v>5</v>
      </c>
    </row>
    <row r="14">
      <c r="A14" t="inlineStr">
        <is>
          <t>Месяц запуска 3-го города (1-12)</t>
        </is>
      </c>
      <c r="B14" t="n">
        <v>9</v>
      </c>
    </row>
    <row r="15">
      <c r="A15" t="inlineStr">
        <is>
          <t>Коэф. роста CAC (стресс)</t>
        </is>
      </c>
      <c r="B15" t="n">
        <v>1.3</v>
      </c>
    </row>
    <row r="16">
      <c r="A16" t="inlineStr">
        <is>
          <t>Коэф. падения чека (стресс)</t>
        </is>
      </c>
      <c r="B16" t="n">
        <v>0.8</v>
      </c>
    </row>
    <row r="17">
      <c r="A17" t="inlineStr">
        <is>
          <t>Коэф. доп. падения заказов зимой (стресс)</t>
        </is>
      </c>
      <c r="B17" t="n">
        <v>0.1</v>
      </c>
    </row>
    <row r="18">
      <c r="A18" s="14" t="inlineStr">
        <is>
          <t>FIX новой точки (редактируемо)</t>
        </is>
      </c>
    </row>
    <row r="19">
      <c r="A19" s="15" t="inlineStr">
        <is>
          <t>2 менеджера продаж</t>
        </is>
      </c>
      <c r="B19" s="16" t="n">
        <v>140000</v>
      </c>
    </row>
    <row r="20">
      <c r="A20" s="15" t="inlineStr">
        <is>
          <t>администратор/координатор</t>
        </is>
      </c>
      <c r="B20" s="16" t="n">
        <v>60000</v>
      </c>
    </row>
    <row r="21">
      <c r="A21" s="15" t="inlineStr">
        <is>
          <t>аренда шоурум+офис</t>
        </is>
      </c>
      <c r="B21" s="16" t="n">
        <v>70000</v>
      </c>
    </row>
    <row r="22">
      <c r="A22" s="15" t="inlineStr">
        <is>
          <t>коммуналка/связь/сервисы</t>
        </is>
      </c>
      <c r="B22" s="16" t="n">
        <v>15000</v>
      </c>
    </row>
    <row r="23">
      <c r="A23" s="15" t="inlineStr">
        <is>
          <t>хоз. расходы</t>
        </is>
      </c>
      <c r="B23" s="16" t="n">
        <v>8000</v>
      </c>
    </row>
    <row r="24">
      <c r="A24" s="15" t="inlineStr">
        <is>
          <t>транспорт</t>
        </is>
      </c>
      <c r="B24" s="16" t="n">
        <v>12000</v>
      </c>
    </row>
    <row r="25">
      <c r="A25" s="15" t="inlineStr">
        <is>
          <t>юр. и бухгалтерия</t>
        </is>
      </c>
      <c r="B25" s="16" t="n">
        <v>15000</v>
      </c>
    </row>
    <row r="26">
      <c r="A26" s="15" t="n"/>
      <c r="B26" s="15" t="n"/>
    </row>
    <row r="27">
      <c r="A27" s="17" t="inlineStr">
        <is>
          <t>Итого FIX: ₽/мес</t>
        </is>
      </c>
      <c r="B27" s="18">
        <f>SUM(B19:B25)</f>
        <v/>
      </c>
    </row>
    <row r="28"/>
  </sheetData>
  <mergeCells count="1"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8" sqref="C8"/>
    </sheetView>
  </sheetViews>
  <sheetFormatPr baseColWidth="8" defaultRowHeight="14.25"/>
  <cols>
    <col width="32.265625" customWidth="1" style="12" min="1" max="1"/>
  </cols>
  <sheetData>
    <row r="1">
      <c r="A1" t="inlineStr">
        <is>
          <t>Показатель</t>
        </is>
      </c>
      <c r="B1" t="inlineStr">
        <is>
          <t>Формула / Значение</t>
        </is>
      </c>
    </row>
    <row r="2">
      <c r="A2" t="inlineStr">
        <is>
          <t>Валовая прибыль с заказа</t>
        </is>
      </c>
      <c r="B2">
        <f>Параметры!B9-Параметры!B10</f>
        <v/>
      </c>
    </row>
    <row r="3">
      <c r="A3" t="inlineStr">
        <is>
          <t>Вклад в покрытие</t>
        </is>
      </c>
      <c r="B3">
        <f>Параметры!B9-Параметры!B10-Параметры!B5</f>
        <v/>
      </c>
    </row>
    <row r="4">
      <c r="A4" t="inlineStr">
        <is>
          <t>Маржинальность, %</t>
        </is>
      </c>
      <c r="B4">
        <f>(Параметры!B9-Параметры!B10)/Параметры!B9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25"/>
  <cols>
    <col width="25.06640625" customWidth="1" style="12" min="1" max="1"/>
  </cols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Выручка</t>
        </is>
      </c>
      <c r="B2">
        <f>Параметры!B2*Параметры!B9</f>
        <v/>
      </c>
    </row>
    <row r="3">
      <c r="A3" t="inlineStr">
        <is>
          <t>Себестоимость</t>
        </is>
      </c>
      <c r="B3">
        <f>Параметры!B2*Параметры!B10</f>
        <v/>
      </c>
    </row>
    <row r="4">
      <c r="A4" t="inlineStr">
        <is>
          <t>Маркетинг</t>
        </is>
      </c>
      <c r="B4">
        <f>Параметры!B2*Параметры!B5</f>
        <v/>
      </c>
    </row>
    <row r="5">
      <c r="A5" t="inlineStr">
        <is>
          <t>Всего переменных</t>
        </is>
      </c>
      <c r="B5">
        <f>B3+B4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4.25"/>
  <cols>
    <col width="24.796875" customWidth="1" style="12" min="1" max="1"/>
  </cols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Выручка</t>
        </is>
      </c>
      <c r="B2">
        <f>Продажи!B2</f>
        <v/>
      </c>
    </row>
    <row r="3">
      <c r="A3" t="inlineStr">
        <is>
          <t>Переменные расходы</t>
        </is>
      </c>
      <c r="B3">
        <f>Продажи!B5</f>
        <v/>
      </c>
    </row>
    <row r="4">
      <c r="A4" t="inlineStr">
        <is>
          <t>Валовая прибыль</t>
        </is>
      </c>
      <c r="B4">
        <f>B2-B3</f>
        <v/>
      </c>
    </row>
    <row r="5">
      <c r="A5" t="inlineStr">
        <is>
          <t>Фиксированные расходы</t>
        </is>
      </c>
      <c r="B5" s="4">
        <f>Параметры!B6</f>
        <v/>
      </c>
    </row>
    <row r="6">
      <c r="A6" t="inlineStr">
        <is>
          <t>Чистая прибыль</t>
        </is>
      </c>
      <c r="B6">
        <f>B4-B5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4.25"/>
  <cols>
    <col width="27.265625" customWidth="1" style="12" min="1" max="1"/>
  </cols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Точка безубыточности (заказов)</t>
        </is>
      </c>
      <c r="B2">
        <f>Параметры!B6/('Юнит-экономика'!B3)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G11" sqref="G11"/>
    </sheetView>
  </sheetViews>
  <sheetFormatPr baseColWidth="8" defaultRowHeight="14.25"/>
  <cols>
    <col width="31.46484375" customWidth="1" style="12" min="1" max="1"/>
  </cols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Срок окупаемости (мес)</t>
        </is>
      </c>
      <c r="B2" s="13">
        <f>IF('P&amp;L'!B6&lt;=0,"нет окупаемости",Параметры!B7/'P&amp;L'!B6)</f>
        <v/>
      </c>
    </row>
    <row r="3">
      <c r="A3" t="inlineStr">
        <is>
          <t>Срок окупаемости (дней)</t>
        </is>
      </c>
      <c r="B3" s="3">
        <f>IF('P&amp;L'!B6&lt;=0,"нет окупаемости",(Параметры!B7/'P&amp;L'!B6)*30)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25"/>
  <cols>
    <col width="27.19921875" customWidth="1" style="12" min="1" max="1"/>
    <col width="14.1328125" customWidth="1" style="12" min="3" max="3"/>
    <col width="12.6640625" customWidth="1" style="12" min="5" max="5"/>
  </cols>
  <sheetData>
    <row r="1">
      <c r="A1" t="inlineStr">
        <is>
          <t>Пакет</t>
        </is>
      </c>
      <c r="B1" t="inlineStr">
        <is>
          <t>Цена</t>
        </is>
      </c>
      <c r="C1" t="inlineStr">
        <is>
          <t>Себестоимость</t>
        </is>
      </c>
      <c r="D1" t="inlineStr">
        <is>
          <t>Маржа</t>
        </is>
      </c>
      <c r="E1" t="inlineStr">
        <is>
          <t>Доля продаж</t>
        </is>
      </c>
    </row>
    <row r="2">
      <c r="A2" t="inlineStr">
        <is>
          <t>Минимум</t>
        </is>
      </c>
      <c r="B2" t="n">
        <v>59900</v>
      </c>
      <c r="C2" t="n">
        <v>46000</v>
      </c>
      <c r="D2">
        <f>B2-C2</f>
        <v/>
      </c>
      <c r="E2" t="n">
        <v>0.1</v>
      </c>
    </row>
    <row r="3">
      <c r="A3" t="inlineStr">
        <is>
          <t>Стандарт</t>
        </is>
      </c>
      <c r="B3" t="n">
        <v>74900</v>
      </c>
      <c r="C3" t="n">
        <v>52000</v>
      </c>
      <c r="D3">
        <f>B3-C3</f>
        <v/>
      </c>
      <c r="E3" t="n">
        <v>0.15</v>
      </c>
    </row>
    <row r="4">
      <c r="A4" t="inlineStr">
        <is>
          <t>Стандарт+</t>
        </is>
      </c>
      <c r="B4" t="n">
        <v>89900</v>
      </c>
      <c r="C4" t="n">
        <v>57000</v>
      </c>
      <c r="D4">
        <f>B4-C4</f>
        <v/>
      </c>
      <c r="E4" t="n">
        <v>0.35</v>
      </c>
    </row>
    <row r="5">
      <c r="A5" t="inlineStr">
        <is>
          <t>Семейный</t>
        </is>
      </c>
      <c r="B5" t="n">
        <v>99900</v>
      </c>
      <c r="C5" t="n">
        <v>60000</v>
      </c>
      <c r="D5">
        <f>B5-C5</f>
        <v/>
      </c>
      <c r="E5" t="n">
        <v>0.15</v>
      </c>
    </row>
    <row r="6">
      <c r="A6" t="inlineStr">
        <is>
          <t>Мемориал</t>
        </is>
      </c>
      <c r="B6" t="n">
        <v>114900</v>
      </c>
      <c r="C6" t="n">
        <v>64000</v>
      </c>
      <c r="D6">
        <f>B6-C6</f>
        <v/>
      </c>
      <c r="E6" t="n">
        <v>0.1</v>
      </c>
    </row>
    <row r="7">
      <c r="A7" t="inlineStr">
        <is>
          <t>Мемориал+</t>
        </is>
      </c>
      <c r="B7" t="n">
        <v>129900</v>
      </c>
      <c r="C7" t="n">
        <v>68000</v>
      </c>
      <c r="D7">
        <f>B7-C7</f>
        <v/>
      </c>
      <c r="E7" t="n">
        <v>0.1</v>
      </c>
    </row>
    <row r="8">
      <c r="A8" t="inlineStr">
        <is>
          <t>Индивидуальный</t>
        </is>
      </c>
      <c r="B8" t="n">
        <v>159900</v>
      </c>
      <c r="C8" t="n">
        <v>90000</v>
      </c>
      <c r="D8">
        <f>B8-C8</f>
        <v/>
      </c>
      <c r="E8" t="n">
        <v>0.05</v>
      </c>
    </row>
    <row r="10">
      <c r="A10" t="inlineStr">
        <is>
          <t>Взвешенный средний чек</t>
        </is>
      </c>
      <c r="B10">
        <f>IF(SUM(E2:E8)=0,0,SUMPRODUCT(B2:B8,E2:E8)/SUM(E2:E8))</f>
        <v/>
      </c>
    </row>
    <row r="11">
      <c r="A11" t="inlineStr">
        <is>
          <t>Взвешенная себестоимость</t>
        </is>
      </c>
      <c r="B11">
        <f>IF(SUM(E2:E8)=0,0,SUMPRODUCT(C2:C8,E2:E8)/SUM(E2:E8))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D4" sqref="D4"/>
    </sheetView>
  </sheetViews>
  <sheetFormatPr baseColWidth="8" defaultRowHeight="14.25"/>
  <cols>
    <col width="11.265625" customWidth="1" style="12" min="1" max="1"/>
  </cols>
  <sheetData>
    <row r="1">
      <c r="A1" t="inlineStr">
        <is>
          <t>Показатель</t>
        </is>
      </c>
      <c r="B1" t="inlineStr">
        <is>
          <t>План</t>
        </is>
      </c>
      <c r="C1" t="inlineStr">
        <is>
          <t>Факт</t>
        </is>
      </c>
      <c r="D1" t="inlineStr">
        <is>
          <t>Формула</t>
        </is>
      </c>
    </row>
    <row r="2">
      <c r="A2" t="inlineStr">
        <is>
          <t>Лиды</t>
        </is>
      </c>
      <c r="B2" t="n">
        <v>120</v>
      </c>
    </row>
    <row r="3">
      <c r="A3" t="inlineStr">
        <is>
          <t>Договоры</t>
        </is>
      </c>
      <c r="B3" t="n">
        <v>30</v>
      </c>
    </row>
    <row r="4">
      <c r="A4" t="inlineStr">
        <is>
          <t>Конверсия</t>
        </is>
      </c>
      <c r="B4" t="n">
        <v>0.25</v>
      </c>
      <c r="D4">
        <f>IF(C2=0,0,C3/C2)</f>
        <v/>
      </c>
    </row>
    <row r="5">
      <c r="A5" t="inlineStr">
        <is>
          <t>Средний чек</t>
        </is>
      </c>
      <c r="B5">
        <f>Параметры!B9</f>
        <v/>
      </c>
    </row>
    <row r="6">
      <c r="A6" t="inlineStr">
        <is>
          <t>Выручка</t>
        </is>
      </c>
      <c r="D6">
        <f>C3*C5</f>
        <v/>
      </c>
    </row>
    <row r="7">
      <c r="A7" t="inlineStr">
        <is>
          <t>CAC</t>
        </is>
      </c>
      <c r="B7">
        <f>Параметры!B5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D19" sqref="D19"/>
    </sheetView>
  </sheetViews>
  <sheetFormatPr baseColWidth="8" defaultRowHeight="14.25"/>
  <sheetData>
    <row r="1">
      <c r="A1" t="inlineStr">
        <is>
          <t>Месяц</t>
        </is>
      </c>
      <c r="B1" t="inlineStr">
        <is>
          <t>Коэффициент</t>
        </is>
      </c>
      <c r="C1" t="inlineStr">
        <is>
          <t>Заказы (расчет)</t>
        </is>
      </c>
    </row>
    <row r="2">
      <c r="A2" t="inlineStr">
        <is>
          <t>Январь</t>
        </is>
      </c>
      <c r="B2" t="n">
        <v>0</v>
      </c>
      <c r="C2">
        <f>Параметры!B2*B2</f>
        <v/>
      </c>
    </row>
    <row r="3">
      <c r="A3" t="inlineStr">
        <is>
          <t>Февраль</t>
        </is>
      </c>
      <c r="B3" t="n">
        <v>0</v>
      </c>
      <c r="C3">
        <f>Параметры!B2*B3</f>
        <v/>
      </c>
    </row>
    <row r="4">
      <c r="A4" t="inlineStr">
        <is>
          <t>Март</t>
        </is>
      </c>
      <c r="B4" t="n">
        <v>0.2</v>
      </c>
      <c r="C4">
        <f>Параметры!B2*B4</f>
        <v/>
      </c>
    </row>
    <row r="5">
      <c r="A5" t="inlineStr">
        <is>
          <t>Апрель</t>
        </is>
      </c>
      <c r="B5" t="n">
        <v>1</v>
      </c>
      <c r="C5">
        <f>Параметры!B2*B5</f>
        <v/>
      </c>
    </row>
    <row r="6">
      <c r="A6" t="inlineStr">
        <is>
          <t>Май</t>
        </is>
      </c>
      <c r="B6" t="n">
        <v>1</v>
      </c>
      <c r="C6">
        <f>Параметры!B2*B6</f>
        <v/>
      </c>
    </row>
    <row r="7">
      <c r="A7" t="inlineStr">
        <is>
          <t>Июнь</t>
        </is>
      </c>
      <c r="B7" t="n">
        <v>1.3</v>
      </c>
      <c r="C7">
        <f>Параметры!B2*B7</f>
        <v/>
      </c>
    </row>
    <row r="8">
      <c r="A8" t="inlineStr">
        <is>
          <t>Июль</t>
        </is>
      </c>
      <c r="B8" t="n">
        <v>0.8</v>
      </c>
      <c r="C8">
        <f>Параметры!B2*B8</f>
        <v/>
      </c>
    </row>
    <row r="9">
      <c r="A9" t="inlineStr">
        <is>
          <t>Август</t>
        </is>
      </c>
      <c r="B9" t="n">
        <v>1.1</v>
      </c>
      <c r="C9">
        <f>Параметры!B2*B9</f>
        <v/>
      </c>
    </row>
    <row r="10">
      <c r="A10" t="inlineStr">
        <is>
          <t>Сентябрь</t>
        </is>
      </c>
      <c r="B10" t="n">
        <v>1</v>
      </c>
      <c r="C10">
        <f>Параметры!B2*B10</f>
        <v/>
      </c>
    </row>
    <row r="11">
      <c r="A11" t="inlineStr">
        <is>
          <t>Октябрь</t>
        </is>
      </c>
      <c r="B11" t="n">
        <v>0.3</v>
      </c>
      <c r="C11">
        <f>Параметры!B2*B11</f>
        <v/>
      </c>
    </row>
    <row r="12">
      <c r="A12" t="inlineStr">
        <is>
          <t>Ноябрь</t>
        </is>
      </c>
      <c r="B12" t="n">
        <v>0.2</v>
      </c>
      <c r="C12">
        <f>Параметры!B2*B12</f>
        <v/>
      </c>
    </row>
    <row r="13">
      <c r="A13" t="inlineStr">
        <is>
          <t>Декабрь</t>
        </is>
      </c>
      <c r="B13" t="n">
        <v>0.1</v>
      </c>
      <c r="C13">
        <f>Параметры!B2*B13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L23" sqref="L23"/>
    </sheetView>
  </sheetViews>
  <sheetFormatPr baseColWidth="8" defaultRowHeight="14.25"/>
  <cols>
    <col width="8.06640625" customWidth="1" style="12" min="1" max="1"/>
    <col width="9.796875" customWidth="1" style="12" min="2" max="2"/>
    <col width="10.6640625" customWidth="1" style="12" min="3" max="3"/>
    <col width="10.86328125" customWidth="1" style="12" min="4" max="4"/>
    <col width="9.9296875" customWidth="1" style="12" min="5" max="5"/>
    <col width="12.1328125" customWidth="1" style="12" min="6" max="6"/>
    <col width="12.73046875" customWidth="1" style="12" min="7" max="7"/>
    <col width="16.33203125" customWidth="1" style="12" min="8" max="8"/>
    <col width="13.86328125" customWidth="1" style="12" min="9" max="9"/>
    <col width="15" customWidth="1" style="12" min="10" max="10"/>
    <col width="18" customWidth="1" style="12" min="11" max="11"/>
    <col width="12.19921875" customWidth="1" style="12" min="12" max="12"/>
    <col width="11.265625" customWidth="1" style="12" min="13" max="13"/>
    <col width="11.86328125" customWidth="1" style="12" min="14" max="14"/>
    <col width="12.73046875" customWidth="1" style="12" min="15" max="15"/>
  </cols>
  <sheetData>
    <row r="1" ht="28.5" customHeight="1" s="12">
      <c r="A1" s="1" t="inlineStr">
        <is>
          <t>Месяц</t>
        </is>
      </c>
      <c r="B1" s="1" t="inlineStr">
        <is>
          <t>Сезон. коэф.</t>
        </is>
      </c>
      <c r="C1" s="1" t="inlineStr">
        <is>
          <t>Заказы (1 город)</t>
        </is>
      </c>
      <c r="D1" s="1" t="inlineStr">
        <is>
          <t>Средний чек</t>
        </is>
      </c>
      <c r="E1" s="1" t="inlineStr">
        <is>
          <t>CAC</t>
        </is>
      </c>
      <c r="F1" s="1" t="inlineStr">
        <is>
          <t>Выручка</t>
        </is>
      </c>
      <c r="G1" s="1" t="inlineStr">
        <is>
          <t>Поступления 70%</t>
        </is>
      </c>
      <c r="H1" s="1" t="inlineStr">
        <is>
          <t>Поступления 30% (с прошлого мес)</t>
        </is>
      </c>
      <c r="I1" s="1" t="inlineStr">
        <is>
          <t>Всего поступлений</t>
        </is>
      </c>
      <c r="J1" s="1" t="inlineStr">
        <is>
          <t>COGS (себестоимость)</t>
        </is>
      </c>
      <c r="K1" s="1" t="inlineStr">
        <is>
          <t>Выплата COGS (70% + 30% прошл. мес)</t>
        </is>
      </c>
      <c r="L1" s="1" t="inlineStr">
        <is>
          <t>Маркетинг</t>
        </is>
      </c>
      <c r="M1" s="1" t="inlineStr">
        <is>
          <t>FIX</t>
        </is>
      </c>
      <c r="N1" s="1" t="inlineStr">
        <is>
          <t>Чистый ДДС месяца</t>
        </is>
      </c>
      <c r="O1" s="1" t="inlineStr">
        <is>
          <t>Накопленный ДДС</t>
        </is>
      </c>
    </row>
    <row r="2">
      <c r="A2" t="inlineStr">
        <is>
          <t>Янв</t>
        </is>
      </c>
      <c r="B2" s="2">
        <f>Сезонность!B2</f>
        <v/>
      </c>
      <c r="C2" s="3">
        <f>Параметры!B2*B2</f>
        <v/>
      </c>
      <c r="D2" s="4">
        <f>Параметры!B9</f>
        <v/>
      </c>
      <c r="E2" s="4">
        <f>Параметры!B5</f>
        <v/>
      </c>
      <c r="F2" s="4">
        <f>C2*D2</f>
        <v/>
      </c>
      <c r="G2" s="4">
        <f>F2*0.7</f>
        <v/>
      </c>
      <c r="H2" s="4" t="n">
        <v>0</v>
      </c>
      <c r="I2" s="4">
        <f>G2+H2</f>
        <v/>
      </c>
      <c r="J2" s="4">
        <f>C2*Параметры!B10</f>
        <v/>
      </c>
      <c r="K2" s="4">
        <f>-J2*0.7</f>
        <v/>
      </c>
      <c r="L2" s="4">
        <f>-(C2*E2)</f>
        <v/>
      </c>
      <c r="M2" s="4">
        <f>-Параметры!B6</f>
        <v/>
      </c>
      <c r="N2" s="4">
        <f>I2+K2+L2+M2</f>
        <v/>
      </c>
      <c r="O2" s="4">
        <f>N2</f>
        <v/>
      </c>
    </row>
    <row r="3">
      <c r="A3" t="inlineStr">
        <is>
          <t>Фев</t>
        </is>
      </c>
      <c r="B3" s="2">
        <f>Сезонность!B3</f>
        <v/>
      </c>
      <c r="C3" s="3">
        <f>Параметры!B2*B3</f>
        <v/>
      </c>
      <c r="D3" s="4">
        <f>Параметры!B9</f>
        <v/>
      </c>
      <c r="E3" s="4">
        <f>Параметры!B5</f>
        <v/>
      </c>
      <c r="F3" s="4">
        <f>C3*D3</f>
        <v/>
      </c>
      <c r="G3" s="4">
        <f>F3*0.7</f>
        <v/>
      </c>
      <c r="H3" s="4">
        <f>F2*0.3</f>
        <v/>
      </c>
      <c r="I3" s="4">
        <f>G3+H3</f>
        <v/>
      </c>
      <c r="J3" s="4">
        <f>C3*Параметры!B10</f>
        <v/>
      </c>
      <c r="K3" s="4">
        <f>-(J3*0.7 + J2*0.3)</f>
        <v/>
      </c>
      <c r="L3" s="4">
        <f>-(C3*E3)</f>
        <v/>
      </c>
      <c r="M3" s="4">
        <f>-Параметры!B6</f>
        <v/>
      </c>
      <c r="N3" s="4">
        <f>I3+K3+L3+M3</f>
        <v/>
      </c>
      <c r="O3" s="4">
        <f>O2+N3</f>
        <v/>
      </c>
    </row>
    <row r="4">
      <c r="A4" t="inlineStr">
        <is>
          <t>Мар</t>
        </is>
      </c>
      <c r="B4" s="2">
        <f>Сезонность!B4</f>
        <v/>
      </c>
      <c r="C4" s="3">
        <f>Параметры!B2*B4</f>
        <v/>
      </c>
      <c r="D4" s="4">
        <f>Параметры!B9</f>
        <v/>
      </c>
      <c r="E4" s="4">
        <f>Параметры!B5</f>
        <v/>
      </c>
      <c r="F4" s="4">
        <f>C4*D4</f>
        <v/>
      </c>
      <c r="G4" s="4">
        <f>F4*0.7</f>
        <v/>
      </c>
      <c r="H4" s="4">
        <f>F3*0.3</f>
        <v/>
      </c>
      <c r="I4" s="4">
        <f>G4+H4</f>
        <v/>
      </c>
      <c r="J4" s="4">
        <f>C4*Параметры!B10</f>
        <v/>
      </c>
      <c r="K4" s="4">
        <f>-(J4*0.7 + J3*0.3)</f>
        <v/>
      </c>
      <c r="L4" s="4">
        <f>-(C4*E4)</f>
        <v/>
      </c>
      <c r="M4" s="4">
        <f>-Параметры!B6</f>
        <v/>
      </c>
      <c r="N4" s="4">
        <f>I4+K4+L4+M4</f>
        <v/>
      </c>
      <c r="O4" s="4">
        <f>O3+N4</f>
        <v/>
      </c>
    </row>
    <row r="5">
      <c r="A5" t="inlineStr">
        <is>
          <t>Апр</t>
        </is>
      </c>
      <c r="B5" s="2">
        <f>Сезонность!B5</f>
        <v/>
      </c>
      <c r="C5" s="3">
        <f>Параметры!B2*B5</f>
        <v/>
      </c>
      <c r="D5" s="4">
        <f>Параметры!B9</f>
        <v/>
      </c>
      <c r="E5" s="4">
        <f>Параметры!B5</f>
        <v/>
      </c>
      <c r="F5" s="4">
        <f>C5*D5</f>
        <v/>
      </c>
      <c r="G5" s="4">
        <f>F5*0.7</f>
        <v/>
      </c>
      <c r="H5" s="4">
        <f>F4*0.3</f>
        <v/>
      </c>
      <c r="I5" s="4">
        <f>G5+H5</f>
        <v/>
      </c>
      <c r="J5" s="4">
        <f>C5*Параметры!B10</f>
        <v/>
      </c>
      <c r="K5" s="4">
        <f>-(J5*0.7 + J4*0.3)</f>
        <v/>
      </c>
      <c r="L5" s="4">
        <f>-(C5*E5)</f>
        <v/>
      </c>
      <c r="M5" s="4">
        <f>-Параметры!B6</f>
        <v/>
      </c>
      <c r="N5" s="4">
        <f>I5+K5+L5+M5</f>
        <v/>
      </c>
      <c r="O5" s="4">
        <f>O4+N5</f>
        <v/>
      </c>
    </row>
    <row r="6">
      <c r="A6" t="inlineStr">
        <is>
          <t>Май</t>
        </is>
      </c>
      <c r="B6" s="2">
        <f>Сезонность!B6</f>
        <v/>
      </c>
      <c r="C6" s="3">
        <f>Параметры!B2*B6</f>
        <v/>
      </c>
      <c r="D6" s="4">
        <f>Параметры!B9</f>
        <v/>
      </c>
      <c r="E6" s="4">
        <f>Параметры!B5</f>
        <v/>
      </c>
      <c r="F6" s="4">
        <f>C6*D6</f>
        <v/>
      </c>
      <c r="G6" s="4">
        <f>F6*0.7</f>
        <v/>
      </c>
      <c r="H6" s="4">
        <f>F5*0.3</f>
        <v/>
      </c>
      <c r="I6" s="4">
        <f>G6+H6</f>
        <v/>
      </c>
      <c r="J6" s="4">
        <f>C6*Параметры!B10</f>
        <v/>
      </c>
      <c r="K6" s="4">
        <f>-(J6*0.7 + J5*0.3)</f>
        <v/>
      </c>
      <c r="L6" s="4">
        <f>-(C6*E6)</f>
        <v/>
      </c>
      <c r="M6" s="4">
        <f>-Параметры!B6</f>
        <v/>
      </c>
      <c r="N6" s="4">
        <f>I6+K6+L6+M6</f>
        <v/>
      </c>
      <c r="O6" s="4">
        <f>O5+N6</f>
        <v/>
      </c>
    </row>
    <row r="7">
      <c r="A7" t="inlineStr">
        <is>
          <t>Июн</t>
        </is>
      </c>
      <c r="B7" s="2">
        <f>Сезонность!B7</f>
        <v/>
      </c>
      <c r="C7" s="3">
        <f>Параметры!B2*B7</f>
        <v/>
      </c>
      <c r="D7" s="4">
        <f>Параметры!B9</f>
        <v/>
      </c>
      <c r="E7" s="4">
        <f>Параметры!B5</f>
        <v/>
      </c>
      <c r="F7" s="4">
        <f>C7*D7</f>
        <v/>
      </c>
      <c r="G7" s="4">
        <f>F7*0.7</f>
        <v/>
      </c>
      <c r="H7" s="4">
        <f>F6*0.3</f>
        <v/>
      </c>
      <c r="I7" s="4">
        <f>G7+H7</f>
        <v/>
      </c>
      <c r="J7" s="4">
        <f>C7*Параметры!B10</f>
        <v/>
      </c>
      <c r="K7" s="4">
        <f>-(J7*0.7 + J6*0.3)</f>
        <v/>
      </c>
      <c r="L7" s="4">
        <f>-(C7*E7)</f>
        <v/>
      </c>
      <c r="M7" s="4">
        <f>-Параметры!B6</f>
        <v/>
      </c>
      <c r="N7" s="4">
        <f>I7+K7+L7+M7</f>
        <v/>
      </c>
      <c r="O7" s="4">
        <f>O6+N7</f>
        <v/>
      </c>
    </row>
    <row r="8">
      <c r="A8" t="inlineStr">
        <is>
          <t>Июл</t>
        </is>
      </c>
      <c r="B8" s="2">
        <f>Сезонность!B8</f>
        <v/>
      </c>
      <c r="C8" s="3">
        <f>Параметры!B2*B8</f>
        <v/>
      </c>
      <c r="D8" s="4">
        <f>Параметры!B9</f>
        <v/>
      </c>
      <c r="E8" s="4">
        <f>Параметры!B5</f>
        <v/>
      </c>
      <c r="F8" s="4">
        <f>C8*D8</f>
        <v/>
      </c>
      <c r="G8" s="4">
        <f>F8*0.7</f>
        <v/>
      </c>
      <c r="H8" s="4">
        <f>F7*0.3</f>
        <v/>
      </c>
      <c r="I8" s="4">
        <f>G8+H8</f>
        <v/>
      </c>
      <c r="J8" s="4">
        <f>C8*Параметры!B10</f>
        <v/>
      </c>
      <c r="K8" s="4">
        <f>-(J8*0.7 + J7*0.3)</f>
        <v/>
      </c>
      <c r="L8" s="4">
        <f>-(C8*E8)</f>
        <v/>
      </c>
      <c r="M8" s="4">
        <f>-Параметры!B6</f>
        <v/>
      </c>
      <c r="N8" s="4">
        <f>I8+K8+L8+M8</f>
        <v/>
      </c>
      <c r="O8" s="4">
        <f>O7+N8</f>
        <v/>
      </c>
    </row>
    <row r="9">
      <c r="A9" t="inlineStr">
        <is>
          <t>Авг</t>
        </is>
      </c>
      <c r="B9" s="2">
        <f>Сезонность!B9</f>
        <v/>
      </c>
      <c r="C9" s="3">
        <f>Параметры!B2*B9</f>
        <v/>
      </c>
      <c r="D9" s="4">
        <f>Параметры!B9</f>
        <v/>
      </c>
      <c r="E9" s="4">
        <f>Параметры!B5</f>
        <v/>
      </c>
      <c r="F9" s="4">
        <f>C9*D9</f>
        <v/>
      </c>
      <c r="G9" s="4">
        <f>F9*0.7</f>
        <v/>
      </c>
      <c r="H9" s="4">
        <f>F8*0.3</f>
        <v/>
      </c>
      <c r="I9" s="4">
        <f>G9+H9</f>
        <v/>
      </c>
      <c r="J9" s="4">
        <f>C9*Параметры!B10</f>
        <v/>
      </c>
      <c r="K9" s="4">
        <f>-(J9*0.7 + J8*0.3)</f>
        <v/>
      </c>
      <c r="L9" s="4">
        <f>-(C9*E9)</f>
        <v/>
      </c>
      <c r="M9" s="4">
        <f>-Параметры!B6</f>
        <v/>
      </c>
      <c r="N9" s="4">
        <f>I9+K9+L9+M9</f>
        <v/>
      </c>
      <c r="O9" s="4">
        <f>O8+N9</f>
        <v/>
      </c>
    </row>
    <row r="10">
      <c r="A10" t="inlineStr">
        <is>
          <t>Сен</t>
        </is>
      </c>
      <c r="B10" s="2">
        <f>Сезонность!B10</f>
        <v/>
      </c>
      <c r="C10" s="3">
        <f>Параметры!B2*B10</f>
        <v/>
      </c>
      <c r="D10" s="4">
        <f>Параметры!B9</f>
        <v/>
      </c>
      <c r="E10" s="4">
        <f>Параметры!B5</f>
        <v/>
      </c>
      <c r="F10" s="4">
        <f>C10*D10</f>
        <v/>
      </c>
      <c r="G10" s="4">
        <f>F10*0.7</f>
        <v/>
      </c>
      <c r="H10" s="4">
        <f>F9*0.3</f>
        <v/>
      </c>
      <c r="I10" s="4">
        <f>G10+H10</f>
        <v/>
      </c>
      <c r="J10" s="4">
        <f>C10*Параметры!B10</f>
        <v/>
      </c>
      <c r="K10" s="4">
        <f>-(J10*0.7 + J9*0.3)</f>
        <v/>
      </c>
      <c r="L10" s="4">
        <f>-(C10*E10)</f>
        <v/>
      </c>
      <c r="M10" s="4">
        <f>-Параметры!B6</f>
        <v/>
      </c>
      <c r="N10" s="4">
        <f>I10+K10+L10+M10</f>
        <v/>
      </c>
      <c r="O10" s="4">
        <f>O9+N10</f>
        <v/>
      </c>
    </row>
    <row r="11">
      <c r="A11" t="inlineStr">
        <is>
          <t>Окт</t>
        </is>
      </c>
      <c r="B11" s="2">
        <f>Сезонность!B11</f>
        <v/>
      </c>
      <c r="C11" s="3">
        <f>Параметры!B2*B11</f>
        <v/>
      </c>
      <c r="D11" s="4">
        <f>Параметры!B9</f>
        <v/>
      </c>
      <c r="E11" s="4">
        <f>Параметры!B5</f>
        <v/>
      </c>
      <c r="F11" s="4">
        <f>C11*D11</f>
        <v/>
      </c>
      <c r="G11" s="4">
        <f>F11*0.7</f>
        <v/>
      </c>
      <c r="H11" s="4">
        <f>F10*0.3</f>
        <v/>
      </c>
      <c r="I11" s="4">
        <f>G11+H11</f>
        <v/>
      </c>
      <c r="J11" s="4">
        <f>C11*Параметры!B10</f>
        <v/>
      </c>
      <c r="K11" s="4">
        <f>-(J11*0.7 + J10*0.3)</f>
        <v/>
      </c>
      <c r="L11" s="4">
        <f>-(C11*E11)</f>
        <v/>
      </c>
      <c r="M11" s="4">
        <f>-Параметры!B6</f>
        <v/>
      </c>
      <c r="N11" s="4">
        <f>I11+K11+L11+M11</f>
        <v/>
      </c>
      <c r="O11" s="4">
        <f>O10+N11</f>
        <v/>
      </c>
    </row>
    <row r="12">
      <c r="A12" t="inlineStr">
        <is>
          <t>Ноя</t>
        </is>
      </c>
      <c r="B12" s="2">
        <f>Сезонность!B12</f>
        <v/>
      </c>
      <c r="C12" s="3">
        <f>Параметры!B2*B12</f>
        <v/>
      </c>
      <c r="D12" s="4">
        <f>Параметры!B9</f>
        <v/>
      </c>
      <c r="E12" s="4">
        <f>Параметры!B5</f>
        <v/>
      </c>
      <c r="F12" s="4">
        <f>C12*D12</f>
        <v/>
      </c>
      <c r="G12" s="4">
        <f>F12*0.7</f>
        <v/>
      </c>
      <c r="H12" s="4">
        <f>F11*0.3</f>
        <v/>
      </c>
      <c r="I12" s="4">
        <f>G12+H12</f>
        <v/>
      </c>
      <c r="J12" s="4">
        <f>C12*Параметры!B10</f>
        <v/>
      </c>
      <c r="K12" s="4">
        <f>-(J12*0.7 + J11*0.3)</f>
        <v/>
      </c>
      <c r="L12" s="4">
        <f>-(C12*E12)</f>
        <v/>
      </c>
      <c r="M12" s="4">
        <f>-Параметры!B6</f>
        <v/>
      </c>
      <c r="N12" s="4">
        <f>I12+K12+L12+M12</f>
        <v/>
      </c>
      <c r="O12" s="4">
        <f>O11+N12</f>
        <v/>
      </c>
    </row>
    <row r="13">
      <c r="A13" t="inlineStr">
        <is>
          <t>Дек</t>
        </is>
      </c>
      <c r="B13" s="2">
        <f>Сезонность!B13</f>
        <v/>
      </c>
      <c r="C13" s="3">
        <f>Параметры!B2*B13</f>
        <v/>
      </c>
      <c r="D13" s="4">
        <f>Параметры!B9</f>
        <v/>
      </c>
      <c r="E13" s="4">
        <f>Параметры!B5</f>
        <v/>
      </c>
      <c r="F13" s="4">
        <f>C13*D13</f>
        <v/>
      </c>
      <c r="G13" s="4">
        <f>F13*0.7</f>
        <v/>
      </c>
      <c r="H13" s="4">
        <f>F12*0.3</f>
        <v/>
      </c>
      <c r="I13" s="4">
        <f>G13+H13</f>
        <v/>
      </c>
      <c r="J13" s="4">
        <f>C13*Параметры!B10</f>
        <v/>
      </c>
      <c r="K13" s="4">
        <f>-(J13*0.7 + J12*0.3)</f>
        <v/>
      </c>
      <c r="L13" s="4">
        <f>-(C13*E13)</f>
        <v/>
      </c>
      <c r="M13" s="4">
        <f>-Параметры!B6</f>
        <v/>
      </c>
      <c r="N13" s="4">
        <f>I13+K13+L13+M13</f>
        <v/>
      </c>
      <c r="O13" s="4">
        <f>O12+N13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:H1"/>
    </sheetView>
  </sheetViews>
  <sheetFormatPr baseColWidth="8" defaultRowHeight="14.25"/>
  <cols>
    <col width="10" customWidth="1" style="12" min="1" max="1"/>
    <col width="18" customWidth="1" style="12" min="2" max="8"/>
    <col hidden="1" width="13" customWidth="1" style="12" min="9" max="9"/>
  </cols>
  <sheetData>
    <row r="1" ht="18" customHeight="1" s="12">
      <c r="A1" s="11" t="inlineStr">
        <is>
          <t>Модель роста до 2–3 городов (заказы и прибыль по месяцам)</t>
        </is>
      </c>
    </row>
    <row r="3">
      <c r="A3" s="1" t="inlineStr">
        <is>
          <t>Параметр</t>
        </is>
      </c>
      <c r="B3" s="1" t="inlineStr">
        <is>
          <t>Значение</t>
        </is>
      </c>
    </row>
    <row r="4">
      <c r="A4" s="5" t="inlineStr">
        <is>
          <t>База заказов / мес (1 город)</t>
        </is>
      </c>
      <c r="B4" s="5">
        <f>Параметры!B2</f>
        <v/>
      </c>
    </row>
    <row r="5">
      <c r="A5" s="5" t="inlineStr">
        <is>
          <t>Доп. FIX на каждый новый город</t>
        </is>
      </c>
      <c r="B5" s="5">
        <f>Параметры!B12</f>
        <v/>
      </c>
    </row>
    <row r="6">
      <c r="A6" s="5" t="inlineStr">
        <is>
          <t>Запуск 2-го города (месяц)</t>
        </is>
      </c>
      <c r="B6" s="5">
        <f>Параметры!B13</f>
        <v/>
      </c>
    </row>
    <row r="7">
      <c r="A7" s="5" t="inlineStr">
        <is>
          <t>Запуск 3-го города (месяц)</t>
        </is>
      </c>
      <c r="B7" s="5">
        <f>Параметры!B14</f>
        <v/>
      </c>
    </row>
    <row r="8">
      <c r="A8" s="5" t="inlineStr">
        <is>
          <t>Средний чек (из пакетов)</t>
        </is>
      </c>
      <c r="B8" s="5">
        <f>Параметры!B9</f>
        <v/>
      </c>
    </row>
    <row r="9">
      <c r="A9" s="5" t="inlineStr">
        <is>
          <t>Себестоимость/заказ (из пакетов)</t>
        </is>
      </c>
      <c r="B9" s="5">
        <f>Параметры!B10</f>
        <v/>
      </c>
    </row>
    <row r="10">
      <c r="A10" s="5" t="inlineStr">
        <is>
          <t>CAC</t>
        </is>
      </c>
      <c r="B10" s="5">
        <f>Параметры!B5</f>
        <v/>
      </c>
    </row>
    <row r="11">
      <c r="A11" t="inlineStr">
        <is>
          <t>FIX (1 город)</t>
        </is>
      </c>
      <c r="B11">
        <f>Параметры!B6</f>
        <v/>
      </c>
    </row>
    <row r="13">
      <c r="A13" s="1" t="inlineStr">
        <is>
          <t>Месяц</t>
        </is>
      </c>
      <c r="B13" s="1" t="inlineStr">
        <is>
          <t>Коэф. сезонности</t>
        </is>
      </c>
      <c r="C13" s="1" t="inlineStr">
        <is>
          <t>Заказы (1 город)</t>
        </is>
      </c>
      <c r="D13" s="1" t="inlineStr">
        <is>
          <t>Заказы (2 города)</t>
        </is>
      </c>
      <c r="E13" s="1" t="inlineStr">
        <is>
          <t>Заказы (3 города)</t>
        </is>
      </c>
      <c r="F13" s="1" t="inlineStr">
        <is>
          <t>Прибыль (1 город)</t>
        </is>
      </c>
      <c r="G13" s="1" t="inlineStr">
        <is>
          <t>Прибыль (2 города)</t>
        </is>
      </c>
      <c r="H13" s="1" t="inlineStr">
        <is>
          <t>Прибыль (3 города)</t>
        </is>
      </c>
    </row>
    <row r="14">
      <c r="A14" s="5" t="inlineStr">
        <is>
          <t>Янв</t>
        </is>
      </c>
      <c r="B14" s="6">
        <f>Сезонность!B2</f>
        <v/>
      </c>
      <c r="C14" s="7">
        <f>Параметры!B2*B14</f>
        <v/>
      </c>
      <c r="D14" s="7">
        <f>C14 + (Параметры!B2*B14)*IF($I14&lt;$B$6,0,IF($I14=$B$6,0.5,IF($I14=$B$6+1,0.8,1)))</f>
        <v/>
      </c>
      <c r="E14" s="7">
        <f>D14 + (Параметры!B2*B14)*IF($I14&lt;$B$7,0,IF($I14=$B$7,0.5,IF($I14=$B$7+1,0.8,1)))</f>
        <v/>
      </c>
      <c r="F14" s="8">
        <f>C14*(Параметры!B9-Параметры!B10-Параметры!B5) - Параметры!B6</f>
        <v/>
      </c>
      <c r="G14" s="8">
        <f>D14*(Параметры!B9-Параметры!B10-Параметры!B5) - (Параметры!B6 + Параметры!B12)</f>
        <v/>
      </c>
      <c r="H14" s="8">
        <f>E14*(Параметры!B9-Параметры!B10-Параметры!B5) - (Параметры!B6 + 2*Параметры!B12)</f>
        <v/>
      </c>
      <c r="I14" t="n">
        <v>1</v>
      </c>
    </row>
    <row r="15">
      <c r="A15" s="5" t="inlineStr">
        <is>
          <t>Фев</t>
        </is>
      </c>
      <c r="B15" s="6">
        <f>Сезонность!B3</f>
        <v/>
      </c>
      <c r="C15" s="7">
        <f>Параметры!B2*B15</f>
        <v/>
      </c>
      <c r="D15" s="7">
        <f>C15 + (Параметры!B2*B15)*IF($I15&lt;$B$6,0,IF($I15=$B$6,0.5,IF($I15=$B$6+1,0.8,1)))</f>
        <v/>
      </c>
      <c r="E15" s="7">
        <f>D15 + (Параметры!B2*B15)*IF($I15&lt;$B$7,0,IF($I15=$B$7,0.5,IF($I15=$B$7+1,0.8,1)))</f>
        <v/>
      </c>
      <c r="F15" s="8">
        <f>C15*(Параметры!B9-Параметры!B10-Параметры!B5) - Параметры!B6</f>
        <v/>
      </c>
      <c r="G15" s="8">
        <f>D15*(Параметры!B9-Параметры!B10-Параметры!B5) - (Параметры!B6 + Параметры!B12)</f>
        <v/>
      </c>
      <c r="H15" s="8">
        <f>E15*(Параметры!B9-Параметры!B10-Параметры!B5) - (Параметры!B6 + 2*Параметры!B12)</f>
        <v/>
      </c>
      <c r="I15" t="n">
        <v>2</v>
      </c>
    </row>
    <row r="16">
      <c r="A16" s="5" t="inlineStr">
        <is>
          <t>Мар</t>
        </is>
      </c>
      <c r="B16" s="6">
        <f>Сезонность!B4</f>
        <v/>
      </c>
      <c r="C16" s="7">
        <f>Параметры!B2*B16</f>
        <v/>
      </c>
      <c r="D16" s="7">
        <f>C16 + (Параметры!B2*B16)*IF($I16&lt;$B$6,0,IF($I16=$B$6,0.5,IF($I16=$B$6+1,0.8,1)))</f>
        <v/>
      </c>
      <c r="E16" s="7">
        <f>D16 + (Параметры!B2*B16)*IF($I16&lt;$B$7,0,IF($I16=$B$7,0.5,IF($I16=$B$7+1,0.8,1)))</f>
        <v/>
      </c>
      <c r="F16" s="8">
        <f>C16*(Параметры!B9-Параметры!B10-Параметры!B5) - Параметры!B6</f>
        <v/>
      </c>
      <c r="G16" s="8">
        <f>D16*(Параметры!B9-Параметры!B10-Параметры!B5) - (Параметры!B6 + Параметры!B12)</f>
        <v/>
      </c>
      <c r="H16" s="8">
        <f>E16*(Параметры!B9-Параметры!B10-Параметры!B5) - (Параметры!B6 + 2*Параметры!B12)</f>
        <v/>
      </c>
      <c r="I16" t="n">
        <v>3</v>
      </c>
    </row>
    <row r="17">
      <c r="A17" s="5" t="inlineStr">
        <is>
          <t>Апр</t>
        </is>
      </c>
      <c r="B17" s="6">
        <f>Сезонность!B5</f>
        <v/>
      </c>
      <c r="C17" s="7">
        <f>Параметры!B2*B17</f>
        <v/>
      </c>
      <c r="D17" s="7">
        <f>C17 + (Параметры!B2*B17)*IF($I17&lt;$B$6,0,IF($I17=$B$6,0.5,IF($I17=$B$6+1,0.8,1)))</f>
        <v/>
      </c>
      <c r="E17" s="7">
        <f>D17 + (Параметры!B2*B17)*IF($I17&lt;$B$7,0,IF($I17=$B$7,0.5,IF($I17=$B$7+1,0.8,1)))</f>
        <v/>
      </c>
      <c r="F17" s="8">
        <f>C17*(Параметры!B9-Параметры!B10-Параметры!B5) - Параметры!B6</f>
        <v/>
      </c>
      <c r="G17" s="8">
        <f>D17*(Параметры!B9-Параметры!B10-Параметры!B5) - (Параметры!B6 + Параметры!B12)</f>
        <v/>
      </c>
      <c r="H17" s="8">
        <f>E17*(Параметры!B9-Параметры!B10-Параметры!B5) - (Параметры!B6 + 2*Параметры!B12)</f>
        <v/>
      </c>
      <c r="I17" t="n">
        <v>4</v>
      </c>
    </row>
    <row r="18">
      <c r="A18" s="5" t="inlineStr">
        <is>
          <t>Май</t>
        </is>
      </c>
      <c r="B18" s="6">
        <f>Сезонность!B6</f>
        <v/>
      </c>
      <c r="C18" s="7">
        <f>Параметры!B2*B18</f>
        <v/>
      </c>
      <c r="D18" s="7">
        <f>C18 + (Параметры!B2*B18)*IF($I18&lt;$B$6,0,IF($I18=$B$6,0.5,IF($I18=$B$6+1,0.8,1)))</f>
        <v/>
      </c>
      <c r="E18" s="7">
        <f>D18 + (Параметры!B2*B18)*IF($I18&lt;$B$7,0,IF($I18=$B$7,0.5,IF($I18=$B$7+1,0.8,1)))</f>
        <v/>
      </c>
      <c r="F18" s="8">
        <f>C18*(Параметры!B9-Параметры!B10-Параметры!B5) - Параметры!B6</f>
        <v/>
      </c>
      <c r="G18" s="8">
        <f>D18*(Параметры!B9-Параметры!B10-Параметры!B5) - (Параметры!B6 + Параметры!B12)</f>
        <v/>
      </c>
      <c r="H18" s="8">
        <f>E18*(Параметры!B9-Параметры!B10-Параметры!B5) - (Параметры!B6 + 2*Параметры!B12)</f>
        <v/>
      </c>
      <c r="I18" t="n">
        <v>5</v>
      </c>
    </row>
    <row r="19">
      <c r="A19" s="5" t="inlineStr">
        <is>
          <t>Июн</t>
        </is>
      </c>
      <c r="B19" s="6">
        <f>Сезонность!B7</f>
        <v/>
      </c>
      <c r="C19" s="7">
        <f>Параметры!B2*B19</f>
        <v/>
      </c>
      <c r="D19" s="7">
        <f>C19 + (Параметры!B2*B19)*IF($I19&lt;$B$6,0,IF($I19=$B$6,0.5,IF($I19=$B$6+1,0.8,1)))</f>
        <v/>
      </c>
      <c r="E19" s="7">
        <f>D19 + (Параметры!B2*B19)*IF($I19&lt;$B$7,0,IF($I19=$B$7,0.5,IF($I19=$B$7+1,0.8,1)))</f>
        <v/>
      </c>
      <c r="F19" s="8">
        <f>C19*(Параметры!B9-Параметры!B10-Параметры!B5) - Параметры!B6</f>
        <v/>
      </c>
      <c r="G19" s="8">
        <f>D19*(Параметры!B9-Параметры!B10-Параметры!B5) - (Параметры!B6 + Параметры!B12)</f>
        <v/>
      </c>
      <c r="H19" s="8">
        <f>E19*(Параметры!B9-Параметры!B10-Параметры!B5) - (Параметры!B6 + 2*Параметры!B12)</f>
        <v/>
      </c>
      <c r="I19" t="n">
        <v>6</v>
      </c>
    </row>
    <row r="20">
      <c r="A20" s="5" t="inlineStr">
        <is>
          <t>Июл</t>
        </is>
      </c>
      <c r="B20" s="6">
        <f>Сезонность!B8</f>
        <v/>
      </c>
      <c r="C20" s="7">
        <f>Параметры!B2*B20</f>
        <v/>
      </c>
      <c r="D20" s="7">
        <f>C20 + (Параметры!B2*B20)*IF($I20&lt;$B$6,0,IF($I20=$B$6,0.5,IF($I20=$B$6+1,0.8,1)))</f>
        <v/>
      </c>
      <c r="E20" s="7">
        <f>D20 + (Параметры!B2*B20)*IF($I20&lt;$B$7,0,IF($I20=$B$7,0.5,IF($I20=$B$7+1,0.8,1)))</f>
        <v/>
      </c>
      <c r="F20" s="8">
        <f>C20*(Параметры!B9-Параметры!B10-Параметры!B5) - Параметры!B6</f>
        <v/>
      </c>
      <c r="G20" s="8">
        <f>D20*(Параметры!B9-Параметры!B10-Параметры!B5) - (Параметры!B6 + Параметры!B12)</f>
        <v/>
      </c>
      <c r="H20" s="8">
        <f>E20*(Параметры!B9-Параметры!B10-Параметры!B5) - (Параметры!B6 + 2*Параметры!B12)</f>
        <v/>
      </c>
      <c r="I20" t="n">
        <v>7</v>
      </c>
    </row>
    <row r="21">
      <c r="A21" s="5" t="inlineStr">
        <is>
          <t>Авг</t>
        </is>
      </c>
      <c r="B21" s="6">
        <f>Сезонность!B9</f>
        <v/>
      </c>
      <c r="C21" s="7">
        <f>Параметры!B2*B21</f>
        <v/>
      </c>
      <c r="D21" s="7">
        <f>C21 + (Параметры!B2*B21)*IF($I21&lt;$B$6,0,IF($I21=$B$6,0.5,IF($I21=$B$6+1,0.8,1)))</f>
        <v/>
      </c>
      <c r="E21" s="7">
        <f>D21 + (Параметры!B2*B21)*IF($I21&lt;$B$7,0,IF($I21=$B$7,0.5,IF($I21=$B$7+1,0.8,1)))</f>
        <v/>
      </c>
      <c r="F21" s="8">
        <f>C21*(Параметры!B9-Параметры!B10-Параметры!B5) - Параметры!B6</f>
        <v/>
      </c>
      <c r="G21" s="8">
        <f>D21*(Параметры!B9-Параметры!B10-Параметры!B5) - (Параметры!B6 + Параметры!B12)</f>
        <v/>
      </c>
      <c r="H21" s="8">
        <f>E21*(Параметры!B9-Параметры!B10-Параметры!B5) - (Параметры!B6 + 2*Параметры!B12)</f>
        <v/>
      </c>
      <c r="I21" t="n">
        <v>8</v>
      </c>
    </row>
    <row r="22">
      <c r="A22" s="5" t="inlineStr">
        <is>
          <t>Сен</t>
        </is>
      </c>
      <c r="B22" s="6">
        <f>Сезонность!B10</f>
        <v/>
      </c>
      <c r="C22" s="7">
        <f>Параметры!B2*B22</f>
        <v/>
      </c>
      <c r="D22" s="7">
        <f>C22 + (Параметры!B2*B22)*IF($I22&lt;$B$6,0,IF($I22=$B$6,0.5,IF($I22=$B$6+1,0.8,1)))</f>
        <v/>
      </c>
      <c r="E22" s="7">
        <f>D22 + (Параметры!B2*B22)*IF($I22&lt;$B$7,0,IF($I22=$B$7,0.5,IF($I22=$B$7+1,0.8,1)))</f>
        <v/>
      </c>
      <c r="F22" s="8">
        <f>C22*(Параметры!B9-Параметры!B10-Параметры!B5) - Параметры!B6</f>
        <v/>
      </c>
      <c r="G22" s="8">
        <f>D22*(Параметры!B9-Параметры!B10-Параметры!B5) - (Параметры!B6 + Параметры!B12)</f>
        <v/>
      </c>
      <c r="H22" s="8">
        <f>E22*(Параметры!B9-Параметры!B10-Параметры!B5) - (Параметры!B6 + 2*Параметры!B12)</f>
        <v/>
      </c>
      <c r="I22" t="n">
        <v>9</v>
      </c>
    </row>
    <row r="23">
      <c r="A23" s="5" t="inlineStr">
        <is>
          <t>Окт</t>
        </is>
      </c>
      <c r="B23" s="6">
        <f>Сезонность!B11</f>
        <v/>
      </c>
      <c r="C23" s="7">
        <f>Параметры!B2*B23</f>
        <v/>
      </c>
      <c r="D23" s="7">
        <f>C23 + (Параметры!B2*B23)*IF($I23&lt;$B$6,0,IF($I23=$B$6,0.5,IF($I23=$B$6+1,0.8,1)))</f>
        <v/>
      </c>
      <c r="E23" s="7">
        <f>D23 + (Параметры!B2*B23)*IF($I23&lt;$B$7,0,IF($I23=$B$7,0.5,IF($I23=$B$7+1,0.8,1)))</f>
        <v/>
      </c>
      <c r="F23" s="8">
        <f>C23*(Параметры!B9-Параметры!B10-Параметры!B5) - Параметры!B6</f>
        <v/>
      </c>
      <c r="G23" s="8">
        <f>D23*(Параметры!B9-Параметры!B10-Параметры!B5) - (Параметры!B6 + Параметры!B12)</f>
        <v/>
      </c>
      <c r="H23" s="8">
        <f>E23*(Параметры!B9-Параметры!B10-Параметры!B5) - (Параметры!B6 + 2*Параметры!B12)</f>
        <v/>
      </c>
      <c r="I23" t="n">
        <v>10</v>
      </c>
    </row>
    <row r="24">
      <c r="A24" s="5" t="inlineStr">
        <is>
          <t>Ноя</t>
        </is>
      </c>
      <c r="B24" s="6">
        <f>Сезонность!B12</f>
        <v/>
      </c>
      <c r="C24" s="7">
        <f>Параметры!B2*B24</f>
        <v/>
      </c>
      <c r="D24" s="7">
        <f>C24 + (Параметры!B2*B24)*IF($I24&lt;$B$6,0,IF($I24=$B$6,0.5,IF($I24=$B$6+1,0.8,1)))</f>
        <v/>
      </c>
      <c r="E24" s="7">
        <f>D24 + (Параметры!B2*B24)*IF($I24&lt;$B$7,0,IF($I24=$B$7,0.5,IF($I24=$B$7+1,0.8,1)))</f>
        <v/>
      </c>
      <c r="F24" s="8">
        <f>C24*(Параметры!B9-Параметры!B10-Параметры!B5) - Параметры!B6</f>
        <v/>
      </c>
      <c r="G24" s="8">
        <f>D24*(Параметры!B9-Параметры!B10-Параметры!B5) - (Параметры!B6 + Параметры!B12)</f>
        <v/>
      </c>
      <c r="H24" s="8">
        <f>E24*(Параметры!B9-Параметры!B10-Параметры!B5) - (Параметры!B6 + 2*Параметры!B12)</f>
        <v/>
      </c>
      <c r="I24" t="n">
        <v>11</v>
      </c>
    </row>
    <row r="25">
      <c r="A25" s="5" t="inlineStr">
        <is>
          <t>Дек</t>
        </is>
      </c>
      <c r="B25" s="6">
        <f>Сезонность!B13</f>
        <v/>
      </c>
      <c r="C25" s="7">
        <f>Параметры!B2*B25</f>
        <v/>
      </c>
      <c r="D25" s="7">
        <f>C25 + (Параметры!B2*B25)*IF($I25&lt;$B$6,0,IF($I25=$B$6,0.5,IF($I25=$B$6+1,0.8,1)))</f>
        <v/>
      </c>
      <c r="E25" s="7">
        <f>D25 + (Параметры!B2*B25)*IF($I25&lt;$B$7,0,IF($I25=$B$7,0.5,IF($I25=$B$7+1,0.8,1)))</f>
        <v/>
      </c>
      <c r="F25" s="8">
        <f>C25*(Параметры!B9-Параметры!B10-Параметры!B5) - Параметры!B6</f>
        <v/>
      </c>
      <c r="G25" s="8">
        <f>D25*(Параметры!B9-Параметры!B10-Параметры!B5) - (Параметры!B6 + Параметры!B12)</f>
        <v/>
      </c>
      <c r="H25" s="8">
        <f>E25*(Параметры!B9-Параметры!B10-Параметры!B5) - (Параметры!B6 + 2*Параметры!B12)</f>
        <v/>
      </c>
      <c r="I25" t="n">
        <v>12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pane ySplit="8" topLeftCell="A9" activePane="bottomLeft" state="frozen"/>
      <selection pane="bottomLeft" activeCell="A1" sqref="A1:K1"/>
    </sheetView>
  </sheetViews>
  <sheetFormatPr baseColWidth="8" defaultRowHeight="14.25"/>
  <cols>
    <col width="10" customWidth="1" style="12" min="1" max="1"/>
    <col width="16" customWidth="1" style="12" min="2" max="11"/>
  </cols>
  <sheetData>
    <row r="1" ht="18" customHeight="1" s="12">
      <c r="A1" s="11" t="inlineStr">
        <is>
          <t>Стресс-тест: зима + рост CAC + падение чека (база vs стресс)</t>
        </is>
      </c>
    </row>
    <row r="3">
      <c r="A3" s="1" t="inlineStr">
        <is>
          <t>Параметр</t>
        </is>
      </c>
      <c r="B3" s="1" t="inlineStr">
        <is>
          <t>База</t>
        </is>
      </c>
      <c r="C3" s="1" t="inlineStr">
        <is>
          <t>Стресс</t>
        </is>
      </c>
    </row>
    <row r="4">
      <c r="A4" s="5" t="inlineStr">
        <is>
          <t>CAC множитель</t>
        </is>
      </c>
      <c r="B4" s="5" t="n">
        <v>1</v>
      </c>
      <c r="C4" s="5">
        <f>Параметры!B15</f>
        <v/>
      </c>
    </row>
    <row r="5">
      <c r="A5" s="5" t="inlineStr">
        <is>
          <t>Чек множитель</t>
        </is>
      </c>
      <c r="B5" s="5" t="n">
        <v>1</v>
      </c>
      <c r="C5" s="5">
        <f>Параметры!B16</f>
        <v/>
      </c>
    </row>
    <row r="6">
      <c r="A6" t="inlineStr">
        <is>
          <t>Зимние заказы множитель (Ноя–Фев)</t>
        </is>
      </c>
      <c r="B6" t="n">
        <v>1</v>
      </c>
      <c r="C6">
        <f>Параметры!B17</f>
        <v/>
      </c>
    </row>
    <row r="8">
      <c r="A8" s="1" t="inlineStr">
        <is>
          <t>Месяц</t>
        </is>
      </c>
      <c r="B8" s="1" t="inlineStr">
        <is>
          <t>Сезон. коэф.</t>
        </is>
      </c>
      <c r="C8" s="1" t="inlineStr">
        <is>
          <t>Заказы (база)</t>
        </is>
      </c>
      <c r="D8" s="1" t="inlineStr">
        <is>
          <t>Заказы (стресс)</t>
        </is>
      </c>
      <c r="E8" s="1" t="inlineStr">
        <is>
          <t>CAC (база)</t>
        </is>
      </c>
      <c r="F8" s="1" t="inlineStr">
        <is>
          <t>CAC (стресс)</t>
        </is>
      </c>
      <c r="G8" s="1" t="inlineStr">
        <is>
          <t>Чек (база)</t>
        </is>
      </c>
      <c r="H8" s="1" t="inlineStr">
        <is>
          <t>Чек (стресс)</t>
        </is>
      </c>
      <c r="I8" s="1" t="inlineStr">
        <is>
          <t>Прибыль (база)</t>
        </is>
      </c>
      <c r="J8" s="1" t="inlineStr">
        <is>
          <t>Прибыль (стресс)</t>
        </is>
      </c>
      <c r="K8" s="1" t="inlineStr">
        <is>
          <t>Δ прибыль</t>
        </is>
      </c>
    </row>
    <row r="9">
      <c r="A9" s="5" t="inlineStr">
        <is>
          <t>Янв</t>
        </is>
      </c>
      <c r="B9" s="6">
        <f>Сезонность!B2</f>
        <v/>
      </c>
      <c r="C9" s="7">
        <f>Параметры!B2*B9</f>
        <v/>
      </c>
      <c r="D9" s="7">
        <f>C9*Параметры!B17</f>
        <v/>
      </c>
      <c r="E9" s="8">
        <f>Параметры!B5</f>
        <v/>
      </c>
      <c r="F9" s="8">
        <f>Параметры!B5*Параметры!B15</f>
        <v/>
      </c>
      <c r="G9" s="8">
        <f>Параметры!B9</f>
        <v/>
      </c>
      <c r="H9" s="8">
        <f>Параметры!B9*Параметры!B16</f>
        <v/>
      </c>
      <c r="I9" s="8">
        <f>C9*(G9-Параметры!B10-E9) - Параметры!B6</f>
        <v/>
      </c>
      <c r="J9" s="8">
        <f>D9*(H9-Параметры!B10-F9) - Параметры!B6</f>
        <v/>
      </c>
      <c r="K9" s="8">
        <f>J9-I9</f>
        <v/>
      </c>
    </row>
    <row r="10">
      <c r="A10" s="5" t="inlineStr">
        <is>
          <t>Фев</t>
        </is>
      </c>
      <c r="B10" s="6">
        <f>Сезонность!B3</f>
        <v/>
      </c>
      <c r="C10" s="7">
        <f>Параметры!B2*B10</f>
        <v/>
      </c>
      <c r="D10" s="7">
        <f>C10*Параметры!B17</f>
        <v/>
      </c>
      <c r="E10" s="8">
        <f>Параметры!B5</f>
        <v/>
      </c>
      <c r="F10" s="8">
        <f>Параметры!B5*Параметры!B15</f>
        <v/>
      </c>
      <c r="G10" s="8">
        <f>Параметры!B9</f>
        <v/>
      </c>
      <c r="H10" s="8">
        <f>Параметры!B9*Параметры!B16</f>
        <v/>
      </c>
      <c r="I10" s="8">
        <f>C10*(G10-Параметры!B10-E10) - Параметры!B6</f>
        <v/>
      </c>
      <c r="J10" s="8">
        <f>D10*(H10-Параметры!B10-F10) - Параметры!B6</f>
        <v/>
      </c>
      <c r="K10" s="8">
        <f>J10-I10</f>
        <v/>
      </c>
    </row>
    <row r="11">
      <c r="A11" s="5" t="inlineStr">
        <is>
          <t>Мар</t>
        </is>
      </c>
      <c r="B11" s="6">
        <f>Сезонность!B4</f>
        <v/>
      </c>
      <c r="C11" s="7">
        <f>Параметры!B2*B11</f>
        <v/>
      </c>
      <c r="D11" s="7">
        <f>C11</f>
        <v/>
      </c>
      <c r="E11" s="8">
        <f>Параметры!B5</f>
        <v/>
      </c>
      <c r="F11" s="8">
        <f>Параметры!B5*Параметры!B15</f>
        <v/>
      </c>
      <c r="G11" s="8">
        <f>Параметры!B9</f>
        <v/>
      </c>
      <c r="H11" s="8">
        <f>Параметры!B9*Параметры!B16</f>
        <v/>
      </c>
      <c r="I11" s="8">
        <f>C11*(G11-Параметры!B10-E11) - Параметры!B6</f>
        <v/>
      </c>
      <c r="J11" s="8">
        <f>D11*(H11-Параметры!B10-F11) - Параметры!B6</f>
        <v/>
      </c>
      <c r="K11" s="8">
        <f>J11-I11</f>
        <v/>
      </c>
    </row>
    <row r="12">
      <c r="A12" s="5" t="inlineStr">
        <is>
          <t>Апр</t>
        </is>
      </c>
      <c r="B12" s="6">
        <f>Сезонность!B5</f>
        <v/>
      </c>
      <c r="C12" s="7">
        <f>Параметры!B2*B12</f>
        <v/>
      </c>
      <c r="D12" s="7">
        <f>C12</f>
        <v/>
      </c>
      <c r="E12" s="8">
        <f>Параметры!B5</f>
        <v/>
      </c>
      <c r="F12" s="8">
        <f>Параметры!B5*Параметры!B15</f>
        <v/>
      </c>
      <c r="G12" s="8">
        <f>Параметры!B9</f>
        <v/>
      </c>
      <c r="H12" s="8">
        <f>Параметры!B9*Параметры!B16</f>
        <v/>
      </c>
      <c r="I12" s="8">
        <f>C12*(G12-Параметры!B10-E12) - Параметры!B6</f>
        <v/>
      </c>
      <c r="J12" s="8">
        <f>D12*(H12-Параметры!B10-F12) - Параметры!B6</f>
        <v/>
      </c>
      <c r="K12" s="8">
        <f>J12-I12</f>
        <v/>
      </c>
    </row>
    <row r="13">
      <c r="A13" s="5" t="inlineStr">
        <is>
          <t>Май</t>
        </is>
      </c>
      <c r="B13" s="6">
        <f>Сезонность!B6</f>
        <v/>
      </c>
      <c r="C13" s="7">
        <f>Параметры!B2*B13</f>
        <v/>
      </c>
      <c r="D13" s="7">
        <f>C13</f>
        <v/>
      </c>
      <c r="E13" s="8">
        <f>Параметры!B5</f>
        <v/>
      </c>
      <c r="F13" s="8">
        <f>Параметры!B5*Параметры!B15</f>
        <v/>
      </c>
      <c r="G13" s="8">
        <f>Параметры!B9</f>
        <v/>
      </c>
      <c r="H13" s="8">
        <f>Параметры!B9*Параметры!B16</f>
        <v/>
      </c>
      <c r="I13" s="8">
        <f>C13*(G13-Параметры!B10-E13) - Параметры!B6</f>
        <v/>
      </c>
      <c r="J13" s="8">
        <f>D13*(H13-Параметры!B10-F13) - Параметры!B6</f>
        <v/>
      </c>
      <c r="K13" s="8">
        <f>J13-I13</f>
        <v/>
      </c>
    </row>
    <row r="14">
      <c r="A14" s="5" t="inlineStr">
        <is>
          <t>Июн</t>
        </is>
      </c>
      <c r="B14" s="6">
        <f>Сезонность!B7</f>
        <v/>
      </c>
      <c r="C14" s="7">
        <f>Параметры!B2*B14</f>
        <v/>
      </c>
      <c r="D14" s="7">
        <f>C14</f>
        <v/>
      </c>
      <c r="E14" s="8">
        <f>Параметры!B5</f>
        <v/>
      </c>
      <c r="F14" s="8">
        <f>Параметры!B5*Параметры!B15</f>
        <v/>
      </c>
      <c r="G14" s="8">
        <f>Параметры!B9</f>
        <v/>
      </c>
      <c r="H14" s="8">
        <f>Параметры!B9*Параметры!B16</f>
        <v/>
      </c>
      <c r="I14" s="8">
        <f>C14*(G14-Параметры!B10-E14) - Параметры!B6</f>
        <v/>
      </c>
      <c r="J14" s="8">
        <f>D14*(H14-Параметры!B10-F14) - Параметры!B6</f>
        <v/>
      </c>
      <c r="K14" s="8">
        <f>J14-I14</f>
        <v/>
      </c>
    </row>
    <row r="15">
      <c r="A15" s="5" t="inlineStr">
        <is>
          <t>Июл</t>
        </is>
      </c>
      <c r="B15" s="6">
        <f>Сезонность!B8</f>
        <v/>
      </c>
      <c r="C15" s="7">
        <f>Параметры!B2*B15</f>
        <v/>
      </c>
      <c r="D15" s="7">
        <f>C15</f>
        <v/>
      </c>
      <c r="E15" s="8">
        <f>Параметры!B5</f>
        <v/>
      </c>
      <c r="F15" s="8">
        <f>Параметры!B5*Параметры!B15</f>
        <v/>
      </c>
      <c r="G15" s="8">
        <f>Параметры!B9</f>
        <v/>
      </c>
      <c r="H15" s="8">
        <f>Параметры!B9*Параметры!B16</f>
        <v/>
      </c>
      <c r="I15" s="8">
        <f>C15*(G15-Параметры!B10-E15) - Параметры!B6</f>
        <v/>
      </c>
      <c r="J15" s="8">
        <f>D15*(H15-Параметры!B10-F15) - Параметры!B6</f>
        <v/>
      </c>
      <c r="K15" s="8">
        <f>J15-I15</f>
        <v/>
      </c>
    </row>
    <row r="16">
      <c r="A16" s="5" t="inlineStr">
        <is>
          <t>Авг</t>
        </is>
      </c>
      <c r="B16" s="6">
        <f>Сезонность!B9</f>
        <v/>
      </c>
      <c r="C16" s="7">
        <f>Параметры!B2*B16</f>
        <v/>
      </c>
      <c r="D16" s="7">
        <f>C16</f>
        <v/>
      </c>
      <c r="E16" s="8">
        <f>Параметры!B5</f>
        <v/>
      </c>
      <c r="F16" s="8">
        <f>Параметры!B5*Параметры!B15</f>
        <v/>
      </c>
      <c r="G16" s="8">
        <f>Параметры!B9</f>
        <v/>
      </c>
      <c r="H16" s="8">
        <f>Параметры!B9*Параметры!B16</f>
        <v/>
      </c>
      <c r="I16" s="8">
        <f>C16*(G16-Параметры!B10-E16) - Параметры!B6</f>
        <v/>
      </c>
      <c r="J16" s="8">
        <f>D16*(H16-Параметры!B10-F16) - Параметры!B6</f>
        <v/>
      </c>
      <c r="K16" s="8">
        <f>J16-I16</f>
        <v/>
      </c>
    </row>
    <row r="17">
      <c r="A17" s="5" t="inlineStr">
        <is>
          <t>Сен</t>
        </is>
      </c>
      <c r="B17" s="6">
        <f>Сезонность!B10</f>
        <v/>
      </c>
      <c r="C17" s="7">
        <f>Параметры!B2*B17</f>
        <v/>
      </c>
      <c r="D17" s="7">
        <f>C17</f>
        <v/>
      </c>
      <c r="E17" s="8">
        <f>Параметры!B5</f>
        <v/>
      </c>
      <c r="F17" s="8">
        <f>Параметры!B5*Параметры!B15</f>
        <v/>
      </c>
      <c r="G17" s="8">
        <f>Параметры!B9</f>
        <v/>
      </c>
      <c r="H17" s="8">
        <f>Параметры!B9*Параметры!B16</f>
        <v/>
      </c>
      <c r="I17" s="8">
        <f>C17*(G17-Параметры!B10-E17) - Параметры!B6</f>
        <v/>
      </c>
      <c r="J17" s="8">
        <f>D17*(H17-Параметры!B10-F17) - Параметры!B6</f>
        <v/>
      </c>
      <c r="K17" s="8">
        <f>J17-I17</f>
        <v/>
      </c>
    </row>
    <row r="18">
      <c r="A18" s="5" t="inlineStr">
        <is>
          <t>Окт</t>
        </is>
      </c>
      <c r="B18" s="6">
        <f>Сезонность!B11</f>
        <v/>
      </c>
      <c r="C18" s="7">
        <f>Параметры!B2*B18</f>
        <v/>
      </c>
      <c r="D18" s="7">
        <f>C18</f>
        <v/>
      </c>
      <c r="E18" s="8">
        <f>Параметры!B5</f>
        <v/>
      </c>
      <c r="F18" s="8">
        <f>Параметры!B5*Параметры!B15</f>
        <v/>
      </c>
      <c r="G18" s="8">
        <f>Параметры!B9</f>
        <v/>
      </c>
      <c r="H18" s="8">
        <f>Параметры!B9*Параметры!B16</f>
        <v/>
      </c>
      <c r="I18" s="8">
        <f>C18*(G18-Параметры!B10-E18) - Параметры!B6</f>
        <v/>
      </c>
      <c r="J18" s="8">
        <f>D18*(H18-Параметры!B10-F18) - Параметры!B6</f>
        <v/>
      </c>
      <c r="K18" s="8">
        <f>J18-I18</f>
        <v/>
      </c>
    </row>
    <row r="19">
      <c r="A19" s="5" t="inlineStr">
        <is>
          <t>Ноя</t>
        </is>
      </c>
      <c r="B19" s="6">
        <f>Сезонность!B12</f>
        <v/>
      </c>
      <c r="C19" s="7">
        <f>Параметры!B2*B19</f>
        <v/>
      </c>
      <c r="D19" s="7">
        <f>C19*Параметры!B17</f>
        <v/>
      </c>
      <c r="E19" s="8">
        <f>Параметры!B5</f>
        <v/>
      </c>
      <c r="F19" s="8">
        <f>Параметры!B5*Параметры!B15</f>
        <v/>
      </c>
      <c r="G19" s="8">
        <f>Параметры!B9</f>
        <v/>
      </c>
      <c r="H19" s="8">
        <f>Параметры!B9*Параметры!B16</f>
        <v/>
      </c>
      <c r="I19" s="8">
        <f>C19*(G19-Параметры!B10-E19) - Параметры!B6</f>
        <v/>
      </c>
      <c r="J19" s="8">
        <f>D19*(H19-Параметры!B10-F19) - Параметры!B6</f>
        <v/>
      </c>
      <c r="K19" s="8">
        <f>J19-I19</f>
        <v/>
      </c>
    </row>
    <row r="20">
      <c r="A20" s="5" t="inlineStr">
        <is>
          <t>Дек</t>
        </is>
      </c>
      <c r="B20" s="6">
        <f>Сезонность!B13</f>
        <v/>
      </c>
      <c r="C20" s="7">
        <f>Параметры!B2*B20</f>
        <v/>
      </c>
      <c r="D20" s="7">
        <f>C20*Параметры!B17</f>
        <v/>
      </c>
      <c r="E20" s="8">
        <f>Параметры!B5</f>
        <v/>
      </c>
      <c r="F20" s="8">
        <f>Параметры!B5*Параметры!B15</f>
        <v/>
      </c>
      <c r="G20" s="8">
        <f>Параметры!B9</f>
        <v/>
      </c>
      <c r="H20" s="8">
        <f>Параметры!B9*Параметры!B16</f>
        <v/>
      </c>
      <c r="I20" s="8">
        <f>C20*(G20-Параметры!B10-E20) - Параметры!B6</f>
        <v/>
      </c>
      <c r="J20" s="8">
        <f>D20*(H20-Параметры!B10-F20) - Параметры!B6</f>
        <v/>
      </c>
      <c r="K20" s="8">
        <f>J20-I20</f>
        <v/>
      </c>
    </row>
    <row r="21">
      <c r="A21" s="9" t="inlineStr">
        <is>
          <t>ИТОГО за год</t>
        </is>
      </c>
      <c r="B21" s="5" t="n"/>
      <c r="C21" s="5" t="n"/>
      <c r="D21" s="5" t="n"/>
      <c r="E21" s="5" t="n"/>
      <c r="F21" s="5" t="n"/>
      <c r="G21" s="5" t="n"/>
      <c r="H21" s="5" t="n"/>
      <c r="I21" s="10">
        <f>SUM(I9:I20)</f>
        <v/>
      </c>
      <c r="J21" s="10">
        <f>SUM(J9:J20)</f>
        <v/>
      </c>
      <c r="K21" s="10">
        <f>J21-I21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2026-02-16T12:33:58Z</dcterms:created>
  <dcterms:modified xmlns:dcterms="http://purl.org/dc/terms/" xmlns:xsi="http://www.w3.org/2001/XMLSchema-instance" xsi:type="dcterms:W3CDTF">2026-02-17T07:04:03Z</dcterms:modified>
  <cp:lastModifiedBy>Пользователь</cp:lastModifiedBy>
</cp:coreProperties>
</file>